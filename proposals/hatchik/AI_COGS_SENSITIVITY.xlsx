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er-customer margin" sheetId="2" state="visible" r:id="rId4"/>
    <sheet name="Sensitivity tables" sheetId="3" state="visible" r:id="rId5"/>
    <sheet name="Cohort projection" sheetId="4" state="visible" r:id="rId6"/>
  </sheets>
  <definedNames>
    <definedName function="false" hidden="false" name="allow_growth" vbProcedure="false">Inputs!$B$19</definedName>
    <definedName function="false" hidden="false" name="allow_launch" vbProcedure="false">Inputs!$B$18</definedName>
    <definedName function="false" hidden="false" name="byo_pct" vbProcedure="false">Inputs!$B$26</definedName>
    <definedName function="false" hidden="false" name="cohort_launch_pct" vbProcedure="false">Inputs!$B$41</definedName>
    <definedName function="false" hidden="false" name="cohort_total" vbProcedure="false">Inputs!$B$40</definedName>
    <definedName function="false" hidden="false" name="cost_blended" vbProcedure="false">Inputs!$B$44</definedName>
    <definedName function="false" hidden="false" name="cost_cheap" vbProcedure="false">Inputs!$B$22</definedName>
    <definedName function="false" hidden="false" name="cost_expensive" vbProcedure="false">Inputs!$B$23</definedName>
    <definedName function="false" hidden="false" name="infra_cost" vbProcedure="false">Inputs!$B$35</definedName>
    <definedName function="false" hidden="false" name="kept_sandbox_cost" vbProcedure="false">Inputs!$B$38</definedName>
    <definedName function="false" hidden="false" name="margin_growth_mid" vbProcedure="false">'Per-customer margin'!$F$21</definedName>
    <definedName function="false" hidden="false" name="margin_growth_opt" vbProcedure="false">'Per-customer margin'!$G$21</definedName>
    <definedName function="false" hidden="false" name="margin_growth_pess" vbProcedure="false">'Per-customer margin'!$E$21</definedName>
    <definedName function="false" hidden="false" name="margin_launch_mid" vbProcedure="false">'Per-customer margin'!$C$21</definedName>
    <definedName function="false" hidden="false" name="margin_launch_opt" vbProcedure="false">'Per-customer margin'!$D$21</definedName>
    <definedName function="false" hidden="false" name="margin_launch_pess" vbProcedure="false">'Per-customer margin'!$B$21</definedName>
    <definedName function="false" hidden="false" name="mix_slider" vbProcedure="false">Inputs!$B$28</definedName>
    <definedName function="false" hidden="false" name="overage_growth" vbProcedure="false">Inputs!$B$32</definedName>
    <definedName function="false" hidden="false" name="overage_launch" vbProcedure="false">Inputs!$B$31</definedName>
    <definedName function="false" hidden="false" name="overage_markup" vbProcedure="false">Inputs!$B$30</definedName>
    <definedName function="false" hidden="false" name="paddle_fixed" vbProcedure="false">Inputs!$B$37</definedName>
    <definedName function="false" hidden="false" name="paddle_pct" vbProcedure="false">Inputs!$B$36</definedName>
    <definedName function="false" hidden="false" name="px_growth_monthly" vbProcedure="false">Inputs!$B$14</definedName>
    <definedName function="false" hidden="false" name="px_launch_monthly" vbProcedure="false">Inputs!$B$13</definedName>
    <definedName function="false" hidden="false" name="px_setup" vbProcedure="false">Inputs!$B$15</definedName>
    <definedName function="false" hidden="false" name="util_pct" vbProcedure="false">Inputs!$B$27</definedName>
    <definedName function="false" hidden="false" name="year1_growth_mid" vbProcedure="false">'Per-customer margin'!$F$25</definedName>
    <definedName function="false" hidden="false" name="year1_launch_mid" vbProcedure="false">'Per-customer margin'!$C$25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<sst xmlns="http://schemas.openxmlformats.org/spreadsheetml/2006/main" count="113" uniqueCount="112">
  <si>
    <t xml:space="preserve">Hatchik — AI COGS Sensitivity</t>
  </si>
  <si>
    <t xml:space="preserve">Last updated 2026-05-14 — all yellow cells are tunable inputs</t>
  </si>
  <si>
    <t xml:space="preserve">HOW TO USE THIS
1. All yellow cells on this sheet are inputs — change them to model your own assumptions.
2. Per-customer margin (Sheet 2) recomputes automatically. Three scenarios are pre-wired: Pessimistic, Mid-range (uses your inputs as-is), Optimistic.
3. Sensitivity tables (Sheet 3) show how Launch + Growth margins move as BYO% and utilisation vary, plus a break-even grid.
4. Cohort projection (Sheet 4) scales the mid-range to 1000 customers at 80/20 Launch/Growth mix.
5. Tunable strategic lever: the OVERAGE MARKUP cell (B30) controls how much we charge over provider cost for tokens past the included allowance.
6. NEW (option A — kept sandbox as dev env): the kept_sandbox_cost input (B38) subtracts £1.50/mo from both Launch and Growth margins, modelling the cost of keeping the customer's sandbox alive as a dev environment after they upgrade. Set this cell to 0 if the founder later decides to make the kept-alive sandbox opt-in or to bill it as a separate line item.</t>
  </si>
  <si>
    <t xml:space="preserve">PRICING</t>
  </si>
  <si>
    <t xml:space="preserve">Launch monthly fee (£)</t>
  </si>
  <si>
    <t xml:space="preserve">Growth monthly fee (£)</t>
  </si>
  <si>
    <t xml:space="preserve">Setup fee (£, one-time, Launch only)</t>
  </si>
  <si>
    <t xml:space="preserve">AI TOKEN ALLOWANCE (£ COGS value included in tier fee)</t>
  </si>
  <si>
    <t xml:space="preserve">Launch allowance (£/mo)</t>
  </si>
  <si>
    <t xml:space="preserve">≈150k tokens at avg model rates</t>
  </si>
  <si>
    <t xml:space="preserve">Growth allowance (£/mo)</t>
  </si>
  <si>
    <t xml:space="preserve">≈500k tokens at avg model rates</t>
  </si>
  <si>
    <t xml:space="preserve">MODEL COST INPUTS (£ per million tokens — our cost from provider)</t>
  </si>
  <si>
    <t xml:space="preserve">Cheap-model blended £/M tokens</t>
  </si>
  <si>
    <t xml:space="preserve">Haiku 3.5 / GPT-4o-mini blend</t>
  </si>
  <si>
    <t xml:space="preserve">Expensive-model blended £/M tokens</t>
  </si>
  <si>
    <t xml:space="preserve">Sonnet 4 / GPT-4o blend</t>
  </si>
  <si>
    <t xml:space="preserve">CUSTOMER MIX &amp; USAGE</t>
  </si>
  <si>
    <t xml:space="preserve">BYO-key fraction (% of customers)</t>
  </si>
  <si>
    <t xml:space="preserve">These pay/cost £0 in AI; risk-free</t>
  </si>
  <si>
    <t xml:space="preserve">Allowance utilisation (non-BYO customers)</t>
  </si>
  <si>
    <t xml:space="preserve">% of allowance consumed on avg</t>
  </si>
  <si>
    <t xml:space="preserve">Model mix slider (0=all cheap, 100=all expensive)</t>
  </si>
  <si>
    <t xml:space="preserve">Default 40 = mostly cheap with some Sonnet</t>
  </si>
  <si>
    <t xml:space="preserve">OVERAGE PRICING (STRATEGIC LEVER)</t>
  </si>
  <si>
    <t xml:space="preserve">Overage markup % (over provider cost)</t>
  </si>
  <si>
    <t xml:space="preserve">30% default — tunable lever</t>
  </si>
  <si>
    <t xml:space="preserve">Avg overage £ provider-cost per Launch non-BYO/mo</t>
  </si>
  <si>
    <t xml:space="preserve">Conservative — most don't go over much</t>
  </si>
  <si>
    <t xml:space="preserve">Avg overage £ provider-cost per Growth non-BYO/mo</t>
  </si>
  <si>
    <t xml:space="preserve">Heavier app builders push limits</t>
  </si>
  <si>
    <t xml:space="preserve">COST-TO-SERVE &amp; PAYMENT</t>
  </si>
  <si>
    <t xml:space="preserve">Infra cost-to-serve (£/mo per customer)</t>
  </si>
  <si>
    <t xml:space="preserve">Hetzner VPS + backups + mail + monitoring</t>
  </si>
  <si>
    <t xml:space="preserve">Paddle fees — variable %</t>
  </si>
  <si>
    <t xml:space="preserve">Paddle MoR rate</t>
  </si>
  <si>
    <t xml:space="preserve">Paddle fees — fixed per txn (£)</t>
  </si>
  <si>
    <t xml:space="preserve">Per monthly invoice</t>
  </si>
  <si>
    <t xml:space="preserve">Kept-sandbox cost (£/mo per promoted customer)</t>
  </si>
  <si>
    <t xml:space="preserve">CAX21 host €8/mo ÷ ~5 sandboxes; set to 0 to model opt-in/separate-billing</t>
  </si>
  <si>
    <t xml:space="preserve">COHORT MIX (Sheet 4)</t>
  </si>
  <si>
    <t xml:space="preserve">Total customers (Year 1 cohort)</t>
  </si>
  <si>
    <t xml:space="preserve">Per MARKETING_PLAN §6</t>
  </si>
  <si>
    <t xml:space="preserve">Launch share of cohort</t>
  </si>
  <si>
    <t xml:space="preserve">80/20 mix</t>
  </si>
  <si>
    <t xml:space="preserve">DERIVED</t>
  </si>
  <si>
    <t xml:space="preserve">Blended £/M tokens (from mix slider)</t>
  </si>
  <si>
    <t xml:space="preserve">Used by Sheets 2 &amp; 3</t>
  </si>
  <si>
    <t xml:space="preserve">Per-customer monthly margin — three scenarios</t>
  </si>
  <si>
    <t xml:space="preserve">All figures £/customer/month. Pessimistic, Mid-range (= your Inputs), Optimistic.</t>
  </si>
  <si>
    <t xml:space="preserve">Launch — Pess.</t>
  </si>
  <si>
    <t xml:space="preserve">Launch — Mid</t>
  </si>
  <si>
    <t xml:space="preserve">Launch — Opt.</t>
  </si>
  <si>
    <t xml:space="preserve">Growth — Pess.</t>
  </si>
  <si>
    <t xml:space="preserve">Growth — Mid</t>
  </si>
  <si>
    <t xml:space="preserve">Growth — Opt.</t>
  </si>
  <si>
    <t xml:space="preserve">Scenario assumptions</t>
  </si>
  <si>
    <t xml:space="preserve">BYO-key %</t>
  </si>
  <si>
    <t xml:space="preserve">Allowance utilisation %</t>
  </si>
  <si>
    <t xml:space="preserve">Blended £/M tokens</t>
  </si>
  <si>
    <t xml:space="preserve">Overage provider-cost £/mo (non-BYO)</t>
  </si>
  <si>
    <t xml:space="preserve">Monthly P&amp;L per customer (£)</t>
  </si>
  <si>
    <t xml:space="preserve">Revenue — subscription</t>
  </si>
  <si>
    <t xml:space="preserve">Revenue — overage markup</t>
  </si>
  <si>
    <t xml:space="preserve">Total revenue</t>
  </si>
  <si>
    <t xml:space="preserve">Less: Paddle fees</t>
  </si>
  <si>
    <t xml:space="preserve">Less: Infra cost-to-serve</t>
  </si>
  <si>
    <t xml:space="preserve">Less: AI COGS — included allowance</t>
  </si>
  <si>
    <t xml:space="preserve">Less: AI COGS — overage (provider cost)</t>
  </si>
  <si>
    <t xml:space="preserve">Less: Kept-sandbox infra (dev env after promote)</t>
  </si>
  <si>
    <t xml:space="preserve">Net monthly margin</t>
  </si>
  <si>
    <t xml:space="preserve">Annual view (Year 1, Launch includes setup amortised)</t>
  </si>
  <si>
    <t xml:space="preserve">Setup fee net (px_setup - £5 provisioning)</t>
  </si>
  <si>
    <t xml:space="preserve">Year-1 net (setup + 11 × monthly margin)</t>
  </si>
  <si>
    <t xml:space="preserve">HEADLINE — mid-range monthly margins</t>
  </si>
  <si>
    <t xml:space="preserve">Launch mid-range £/mo:</t>
  </si>
  <si>
    <t xml:space="preserve">Launch range (Pess → Opt):</t>
  </si>
  <si>
    <t xml:space="preserve">Growth mid-range £/mo:</t>
  </si>
  <si>
    <t xml:space="preserve">Growth range (Pess → Opt):</t>
  </si>
  <si>
    <t xml:space="preserve">Sensitivity tables — margin vs (BYO %, utilisation %)</t>
  </si>
  <si>
    <t xml:space="preserve">Uses Inputs sheet's blended cost-of-tokens and overage assumptions. Mid-range scenario formulas.</t>
  </si>
  <si>
    <t xml:space="preserve">Launch — net margin £/mo by (BYO %, Allowance utilisation %)</t>
  </si>
  <si>
    <t xml:space="preserve">BYO % ↓ / Util % →</t>
  </si>
  <si>
    <t xml:space="preserve">Growth — net margin £/mo by (BYO %, Allowance utilisation %)</t>
  </si>
  <si>
    <t xml:space="preserve">Break-even utilisation % (margin = 0)</t>
  </si>
  <si>
    <t xml:space="preserve">BYO %</t>
  </si>
  <si>
    <t xml:space="preserve">Launch break-even util %</t>
  </si>
  <si>
    <t xml:space="preserve">Growth break-even util %</t>
  </si>
  <si>
    <t xml:space="preserve">Read: at BYO=0%, Launch break-even utilisation is the % of allowance avg use can hit before margin goes to zero. &gt;100% means tier is profitable even at full allowance use.</t>
  </si>
  <si>
    <t xml:space="preserve">Year-1 cohort projection — 1000 customers, 80/20 Launch/Growth</t>
  </si>
  <si>
    <t xml:space="preserve">Pulls mid-range scenario from 'Per-customer margin' sheet.</t>
  </si>
  <si>
    <t xml:space="preserve">INPUTS (linked)</t>
  </si>
  <si>
    <t xml:space="preserve">Total customers</t>
  </si>
  <si>
    <t xml:space="preserve">Launch share</t>
  </si>
  <si>
    <t xml:space="preserve">Growth share</t>
  </si>
  <si>
    <t xml:space="preserve">Launch customers</t>
  </si>
  <si>
    <t xml:space="preserve">Growth customers</t>
  </si>
  <si>
    <t xml:space="preserve">YEAR-1 ECONOMICS (mid-range)</t>
  </si>
  <si>
    <t xml:space="preserve">Launch cohort</t>
  </si>
  <si>
    <t xml:space="preserve">Growth cohort</t>
  </si>
  <si>
    <t xml:space="preserve">Total</t>
  </si>
  <si>
    <t xml:space="preserve">Y1 revenue per customer</t>
  </si>
  <si>
    <t xml:space="preserve">Y1 net margin per customer</t>
  </si>
  <si>
    <t xml:space="preserve">Y1 cohort revenue (total)</t>
  </si>
  <si>
    <t xml:space="preserve">Y1 cohort gross margin (total)</t>
  </si>
  <si>
    <t xml:space="preserve">Implied gross margin %</t>
  </si>
  <si>
    <t xml:space="preserve">COMPARISON vs old MARKETING_PLAN §6 (pre-AI-COGS subtraction)</t>
  </si>
  <si>
    <t xml:space="preserve">Old per-customer Y1 net Launch (£108 cited in §6)</t>
  </si>
  <si>
    <t xml:space="preserve">Old per-customer Y1 net Growth (£338 cited in §6)</t>
  </si>
  <si>
    <t xml:space="preserve">Old cohort Y1 gross margin (1000 @ 80/20)</t>
  </si>
  <si>
    <t xml:space="preserve">Delta (new vs old)</t>
  </si>
  <si>
    <t xml:space="preserve">Delta 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</si>
</sst>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.00"/>
    <numFmt numFmtId="166" formatCode="0.0%"/>
    <numFmt numFmtId="167" formatCode="0"/>
    <numFmt numFmtId="168" formatCode="\£#,##0.00"/>
    <numFmt numFmtId="169" formatCode="#,##0"/>
    <numFmt numFmtId="170" formatCode="\£#,##0.00;&quot;(£&quot;#,##0.00\);\-"/>
    <numFmt numFmtId="171" formatCode="\£#,##0.00;&quot;(£&quot;#,##0.00\);\-"/>
    <numFmt numFmtId="172" formatCode="0%"/>
    <numFmt numFmtId="173" formatCode="\£#,##0;&quot;(£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1E2761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E276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59E"/>
        <bgColor rgb="FFFDE68A"/>
      </patternFill>
    </fill>
    <fill>
      <patternFill patternType="solid">
        <fgColor rgb="FFE8ECF6"/>
        <bgColor rgb="FFD9E1F2"/>
      </patternFill>
    </fill>
    <fill>
      <patternFill patternType="solid">
        <fgColor rgb="FFFFFFCC"/>
        <bgColor rgb="FFFFFFFF"/>
      </patternFill>
    </fill>
    <fill>
      <patternFill patternType="solid">
        <fgColor rgb="FF1E2761"/>
        <bgColor rgb="FF333333"/>
      </patternFill>
    </fill>
    <fill>
      <patternFill patternType="solid">
        <fgColor rgb="FFD9E1F2"/>
        <bgColor rgb="FFCADCFC"/>
      </patternFill>
    </fill>
    <fill>
      <patternFill patternType="solid">
        <fgColor rgb="FFCADCFC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A3AF"/>
      </left>
      <right style="thin">
        <color rgb="FF9BA3AF"/>
      </right>
      <top style="thin">
        <color rgb="FF9BA3AF"/>
      </top>
      <bottom style="thin">
        <color rgb="FF9B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A5A5"/>
        </patternFill>
      </fill>
    </dxf>
    <dxf>
      <fill>
        <patternFill>
          <bgColor rgb="FFFDE68A"/>
        </patternFill>
      </fill>
    </dxf>
    <dxf>
      <fill>
        <patternFill>
          <bgColor rgb="FF86EFA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CF6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59E"/>
      <rgbColor rgb="FF86EFAC"/>
      <rgbColor rgb="FFFCA5A5"/>
      <rgbColor rgb="FFCC99FF"/>
      <rgbColor rgb="FFFDE68A"/>
      <rgbColor rgb="FF3366FF"/>
      <rgbColor rgb="FF33CCCC"/>
      <rgbColor rgb="FF99CC00"/>
      <rgbColor rgb="FFFFCC00"/>
      <rgbColor rgb="FFFF9900"/>
      <rgbColor rgb="FFFF6600"/>
      <rgbColor rgb="FF6B7280"/>
      <rgbColor rgb="FF9BA3AF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5" min="3" style="1" width="1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</row>
    <row r="5" customFormat="false" ht="18" hidden="false" customHeight="true" outlineLevel="0" collapsed="false">
      <c r="A5" s="4"/>
      <c r="B5" s="4"/>
      <c r="C5" s="4"/>
      <c r="D5" s="4"/>
      <c r="E5" s="4"/>
    </row>
    <row r="6" customFormat="false" ht="18" hidden="false" customHeight="true" outlineLevel="0" collapsed="false">
      <c r="A6" s="4"/>
      <c r="B6" s="4"/>
      <c r="C6" s="4"/>
      <c r="D6" s="4"/>
      <c r="E6" s="4"/>
    </row>
    <row r="7" customFormat="false" ht="18" hidden="false" customHeight="true" outlineLevel="0" collapsed="false">
      <c r="A7" s="4"/>
      <c r="B7" s="4"/>
      <c r="C7" s="4"/>
      <c r="D7" s="4"/>
      <c r="E7" s="4"/>
    </row>
    <row r="8" customFormat="false" ht="18" hidden="false" customHeight="true" outlineLevel="0" collapsed="false">
      <c r="A8" s="4"/>
      <c r="B8" s="4"/>
      <c r="C8" s="4"/>
      <c r="D8" s="4"/>
      <c r="E8" s="4"/>
    </row>
    <row r="9" customFormat="false" ht="18" hidden="false" customHeight="true" outlineLevel="0" collapsed="false">
      <c r="A9" s="4"/>
      <c r="B9" s="4"/>
      <c r="C9" s="4"/>
      <c r="D9" s="4"/>
      <c r="E9" s="4"/>
    </row>
    <row r="10" customFormat="false" ht="18" hidden="false" customHeight="true" outlineLevel="0" collapsed="false">
      <c r="A10" s="4"/>
      <c r="B10" s="4"/>
      <c r="C10" s="4"/>
      <c r="D10" s="4"/>
      <c r="E10" s="4"/>
    </row>
    <row r="12" customFormat="false" ht="15" hidden="false" customHeight="true" outlineLevel="0" collapsed="false">
      <c r="A12" s="5" t="s">
        <v>3</v>
      </c>
      <c r="B12" s="5"/>
      <c r="C12" s="5"/>
      <c r="D12" s="5"/>
      <c r="E12" s="5"/>
    </row>
    <row r="13" customFormat="false" ht="15" hidden="false" customHeight="true" outlineLevel="0" collapsed="false">
      <c r="A13" s="6" t="s">
        <v>4</v>
      </c>
      <c r="B13" s="7" t="n">
        <v>14</v>
      </c>
    </row>
    <row r="14" customFormat="false" ht="15" hidden="false" customHeight="true" outlineLevel="0" collapsed="false">
      <c r="A14" s="6" t="s">
        <v>5</v>
      </c>
      <c r="B14" s="7" t="n">
        <v>39</v>
      </c>
    </row>
    <row r="15" customFormat="false" ht="15" hidden="false" customHeight="true" outlineLevel="0" collapsed="false">
      <c r="A15" s="6" t="s">
        <v>6</v>
      </c>
      <c r="B15" s="7" t="n">
        <v>89</v>
      </c>
    </row>
    <row r="17" customFormat="false" ht="15" hidden="false" customHeight="true" outlineLevel="0" collapsed="false">
      <c r="A17" s="5" t="s">
        <v>7</v>
      </c>
      <c r="B17" s="5"/>
      <c r="C17" s="5"/>
      <c r="D17" s="5"/>
      <c r="E17" s="5"/>
    </row>
    <row r="18" customFormat="false" ht="15" hidden="false" customHeight="true" outlineLevel="0" collapsed="false">
      <c r="A18" s="6" t="s">
        <v>8</v>
      </c>
      <c r="B18" s="7" t="n">
        <v>3</v>
      </c>
      <c r="C18" s="3" t="s">
        <v>9</v>
      </c>
      <c r="D18" s="3"/>
      <c r="E18" s="3"/>
    </row>
    <row r="19" customFormat="false" ht="15" hidden="false" customHeight="true" outlineLevel="0" collapsed="false">
      <c r="A19" s="6" t="s">
        <v>10</v>
      </c>
      <c r="B19" s="7" t="n">
        <v>10</v>
      </c>
      <c r="C19" s="3" t="s">
        <v>11</v>
      </c>
      <c r="D19" s="3"/>
      <c r="E19" s="3"/>
    </row>
    <row r="21" customFormat="false" ht="15" hidden="false" customHeight="true" outlineLevel="0" collapsed="false">
      <c r="A21" s="5" t="s">
        <v>12</v>
      </c>
      <c r="B21" s="5"/>
      <c r="C21" s="5"/>
      <c r="D21" s="5"/>
      <c r="E21" s="5"/>
    </row>
    <row r="22" customFormat="false" ht="15" hidden="false" customHeight="true" outlineLevel="0" collapsed="false">
      <c r="A22" s="6" t="s">
        <v>13</v>
      </c>
      <c r="B22" s="7" t="n">
        <v>1.2</v>
      </c>
      <c r="C22" s="3" t="s">
        <v>14</v>
      </c>
      <c r="D22" s="3"/>
      <c r="E22" s="3"/>
    </row>
    <row r="23" customFormat="false" ht="15" hidden="false" customHeight="true" outlineLevel="0" collapsed="false">
      <c r="A23" s="6" t="s">
        <v>15</v>
      </c>
      <c r="B23" s="7" t="n">
        <v>7.5</v>
      </c>
      <c r="C23" s="3" t="s">
        <v>16</v>
      </c>
      <c r="D23" s="3"/>
      <c r="E23" s="3"/>
    </row>
    <row r="25" customFormat="false" ht="15" hidden="false" customHeight="true" outlineLevel="0" collapsed="false">
      <c r="A25" s="5" t="s">
        <v>17</v>
      </c>
      <c r="B25" s="5"/>
      <c r="C25" s="5"/>
      <c r="D25" s="5"/>
      <c r="E25" s="5"/>
    </row>
    <row r="26" customFormat="false" ht="15" hidden="false" customHeight="true" outlineLevel="0" collapsed="false">
      <c r="A26" s="6" t="s">
        <v>18</v>
      </c>
      <c r="B26" s="8" t="n">
        <v>0.3</v>
      </c>
      <c r="C26" s="3" t="s">
        <v>19</v>
      </c>
      <c r="D26" s="3"/>
      <c r="E26" s="3"/>
    </row>
    <row r="27" customFormat="false" ht="15" hidden="false" customHeight="true" outlineLevel="0" collapsed="false">
      <c r="A27" s="6" t="s">
        <v>20</v>
      </c>
      <c r="B27" s="8" t="n">
        <v>0.6</v>
      </c>
      <c r="C27" s="3" t="s">
        <v>21</v>
      </c>
      <c r="D27" s="3"/>
      <c r="E27" s="3"/>
    </row>
    <row r="28" customFormat="false" ht="15" hidden="false" customHeight="true" outlineLevel="0" collapsed="false">
      <c r="A28" s="6" t="s">
        <v>22</v>
      </c>
      <c r="B28" s="9" t="n">
        <v>40</v>
      </c>
      <c r="C28" s="3" t="s">
        <v>23</v>
      </c>
      <c r="D28" s="3"/>
      <c r="E28" s="3"/>
    </row>
    <row r="29" customFormat="false" ht="15" hidden="false" customHeight="true" outlineLevel="0" collapsed="false">
      <c r="A29" s="5" t="s">
        <v>24</v>
      </c>
      <c r="B29" s="5"/>
      <c r="C29" s="5"/>
      <c r="D29" s="5"/>
      <c r="E29" s="5"/>
    </row>
    <row r="30" customFormat="false" ht="15" hidden="false" customHeight="true" outlineLevel="0" collapsed="false">
      <c r="A30" s="6" t="s">
        <v>25</v>
      </c>
      <c r="B30" s="8" t="n">
        <v>0.3</v>
      </c>
      <c r="C30" s="3" t="s">
        <v>26</v>
      </c>
      <c r="D30" s="3"/>
      <c r="E30" s="3"/>
    </row>
    <row r="31" customFormat="false" ht="15" hidden="false" customHeight="true" outlineLevel="0" collapsed="false">
      <c r="A31" s="6" t="s">
        <v>27</v>
      </c>
      <c r="B31" s="7" t="n">
        <v>2</v>
      </c>
      <c r="C31" s="3" t="s">
        <v>28</v>
      </c>
      <c r="D31" s="3"/>
      <c r="E31" s="3"/>
    </row>
    <row r="32" customFormat="false" ht="15" hidden="false" customHeight="true" outlineLevel="0" collapsed="false">
      <c r="A32" s="6" t="s">
        <v>29</v>
      </c>
      <c r="B32" s="7" t="n">
        <v>5</v>
      </c>
      <c r="C32" s="3" t="s">
        <v>30</v>
      </c>
      <c r="D32" s="3"/>
      <c r="E32" s="3"/>
    </row>
    <row r="34" customFormat="false" ht="15" hidden="false" customHeight="true" outlineLevel="0" collapsed="false">
      <c r="A34" s="5" t="s">
        <v>31</v>
      </c>
      <c r="B34" s="5"/>
      <c r="C34" s="5"/>
      <c r="D34" s="5"/>
      <c r="E34" s="5"/>
    </row>
    <row r="35" customFormat="false" ht="15" hidden="false" customHeight="true" outlineLevel="0" collapsed="false">
      <c r="A35" s="6" t="s">
        <v>32</v>
      </c>
      <c r="B35" s="7" t="n">
        <v>8.5</v>
      </c>
      <c r="C35" s="3" t="s">
        <v>33</v>
      </c>
      <c r="D35" s="3"/>
      <c r="E35" s="3"/>
    </row>
    <row r="36" customFormat="false" ht="15" hidden="false" customHeight="true" outlineLevel="0" collapsed="false">
      <c r="A36" s="6" t="s">
        <v>34</v>
      </c>
      <c r="B36" s="8" t="n">
        <v>0.05</v>
      </c>
      <c r="C36" s="3" t="s">
        <v>35</v>
      </c>
      <c r="D36" s="3"/>
      <c r="E36" s="3"/>
    </row>
    <row r="37" customFormat="false" ht="15" hidden="false" customHeight="true" outlineLevel="0" collapsed="false">
      <c r="A37" s="6" t="s">
        <v>36</v>
      </c>
      <c r="B37" s="7" t="n">
        <v>0.4</v>
      </c>
      <c r="C37" s="3" t="s">
        <v>37</v>
      </c>
      <c r="D37" s="3"/>
      <c r="E37" s="3"/>
    </row>
    <row r="38" customFormat="false" ht="15" hidden="false" customHeight="false" outlineLevel="0" collapsed="false">
      <c r="A38" s="10" t="s">
        <v>38</v>
      </c>
      <c r="B38" s="11" t="n">
        <v>1.5</v>
      </c>
      <c r="C38" s="12" t="s">
        <v>39</v>
      </c>
      <c r="D38" s="12"/>
      <c r="E38" s="12"/>
    </row>
    <row r="39" customFormat="false" ht="15" hidden="false" customHeight="true" outlineLevel="0" collapsed="false">
      <c r="A39" s="5" t="s">
        <v>40</v>
      </c>
      <c r="B39" s="5"/>
      <c r="C39" s="5"/>
      <c r="D39" s="5"/>
      <c r="E39" s="5"/>
    </row>
    <row r="40" customFormat="false" ht="15" hidden="false" customHeight="true" outlineLevel="0" collapsed="false">
      <c r="A40" s="6" t="s">
        <v>41</v>
      </c>
      <c r="B40" s="13" t="n">
        <v>1000</v>
      </c>
      <c r="C40" s="3" t="s">
        <v>42</v>
      </c>
      <c r="D40" s="3"/>
      <c r="E40" s="3"/>
    </row>
    <row r="41" customFormat="false" ht="15" hidden="false" customHeight="true" outlineLevel="0" collapsed="false">
      <c r="A41" s="6" t="s">
        <v>43</v>
      </c>
      <c r="B41" s="8" t="n">
        <v>0.8</v>
      </c>
      <c r="C41" s="3" t="s">
        <v>44</v>
      </c>
      <c r="D41" s="3"/>
      <c r="E41" s="3"/>
    </row>
    <row r="43" customFormat="false" ht="15" hidden="false" customHeight="true" outlineLevel="0" collapsed="false">
      <c r="A43" s="14" t="s">
        <v>45</v>
      </c>
      <c r="B43" s="14"/>
      <c r="C43" s="14"/>
      <c r="D43" s="14"/>
      <c r="E43" s="14"/>
    </row>
    <row r="44" customFormat="false" ht="15" hidden="false" customHeight="true" outlineLevel="0" collapsed="false">
      <c r="A44" s="1" t="s">
        <v>46</v>
      </c>
      <c r="B44" s="15" t="n">
        <f aca="false">cost_cheap*(1-mix_slider/100)+cost_expensive*(mix_slider/100)</f>
        <v>3.72</v>
      </c>
      <c r="C44" s="16" t="s">
        <v>47</v>
      </c>
    </row>
  </sheetData>
  <mergeCells count="27">
    <mergeCell ref="A1:E1"/>
    <mergeCell ref="A2:E2"/>
    <mergeCell ref="A4:E10"/>
    <mergeCell ref="A12:E12"/>
    <mergeCell ref="A17:E17"/>
    <mergeCell ref="C18:E18"/>
    <mergeCell ref="C19:E19"/>
    <mergeCell ref="A21:E21"/>
    <mergeCell ref="C22:E22"/>
    <mergeCell ref="C23:E23"/>
    <mergeCell ref="A25:E25"/>
    <mergeCell ref="C26:E26"/>
    <mergeCell ref="C27:E27"/>
    <mergeCell ref="C28:E28"/>
    <mergeCell ref="A29:E29"/>
    <mergeCell ref="C30:E30"/>
    <mergeCell ref="C31:E31"/>
    <mergeCell ref="C32:E32"/>
    <mergeCell ref="A34:E34"/>
    <mergeCell ref="C35:E35"/>
    <mergeCell ref="C36:E36"/>
    <mergeCell ref="C37:E37"/>
    <mergeCell ref="C38:E38"/>
    <mergeCell ref="A39:E39"/>
    <mergeCell ref="C40:E40"/>
    <mergeCell ref="C41:E41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7" min="2" style="1" width="15"/>
  </cols>
  <sheetData>
    <row r="1" customFormat="false" ht="19.5" hidden="false" customHeight="true" outlineLevel="0" collapsed="false">
      <c r="A1" s="2" t="s">
        <v>48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49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7"/>
      <c r="B4" s="17" t="s">
        <v>50</v>
      </c>
      <c r="C4" s="17" t="s">
        <v>51</v>
      </c>
      <c r="D4" s="17" t="s">
        <v>52</v>
      </c>
      <c r="E4" s="17" t="s">
        <v>53</v>
      </c>
      <c r="F4" s="17" t="s">
        <v>54</v>
      </c>
      <c r="G4" s="17" t="s">
        <v>55</v>
      </c>
    </row>
    <row r="5" customFormat="false" ht="15" hidden="false" customHeight="true" outlineLevel="0" collapsed="false">
      <c r="A5" s="3" t="s">
        <v>56</v>
      </c>
      <c r="B5" s="3"/>
      <c r="C5" s="3"/>
      <c r="D5" s="3"/>
      <c r="E5" s="3"/>
      <c r="F5" s="3"/>
      <c r="G5" s="3"/>
    </row>
    <row r="6" customFormat="false" ht="15" hidden="false" customHeight="true" outlineLevel="0" collapsed="false">
      <c r="A6" s="1" t="s">
        <v>57</v>
      </c>
      <c r="B6" s="18" t="n">
        <v>0</v>
      </c>
      <c r="C6" s="19" t="n">
        <f aca="false">byo_pct</f>
        <v>0.3</v>
      </c>
      <c r="D6" s="18" t="n">
        <v>0.8</v>
      </c>
      <c r="E6" s="18" t="n">
        <v>0</v>
      </c>
      <c r="F6" s="19" t="n">
        <f aca="false">byo_pct</f>
        <v>0.3</v>
      </c>
      <c r="G6" s="18" t="n">
        <v>0.8</v>
      </c>
    </row>
    <row r="7" customFormat="false" ht="15" hidden="false" customHeight="true" outlineLevel="0" collapsed="false">
      <c r="A7" s="1" t="s">
        <v>58</v>
      </c>
      <c r="B7" s="18" t="n">
        <v>1</v>
      </c>
      <c r="C7" s="19" t="n">
        <f aca="false">util_pct</f>
        <v>0.6</v>
      </c>
      <c r="D7" s="18" t="n">
        <v>0.2</v>
      </c>
      <c r="E7" s="18" t="n">
        <v>1</v>
      </c>
      <c r="F7" s="19" t="n">
        <f aca="false">util_pct</f>
        <v>0.6</v>
      </c>
      <c r="G7" s="18" t="n">
        <v>0.2</v>
      </c>
    </row>
    <row r="8" customFormat="false" ht="15" hidden="false" customHeight="true" outlineLevel="0" collapsed="false">
      <c r="A8" s="1" t="s">
        <v>59</v>
      </c>
      <c r="B8" s="20" t="n">
        <f aca="false">cost_expensive</f>
        <v>7.5</v>
      </c>
      <c r="C8" s="20" t="n">
        <f aca="false">cost_blended</f>
        <v>3.72</v>
      </c>
      <c r="D8" s="20" t="n">
        <f aca="false">cost_cheap</f>
        <v>1.2</v>
      </c>
      <c r="E8" s="20" t="n">
        <f aca="false">cost_expensive</f>
        <v>7.5</v>
      </c>
      <c r="F8" s="20" t="n">
        <f aca="false">cost_blended</f>
        <v>3.72</v>
      </c>
      <c r="G8" s="20" t="n">
        <f aca="false">cost_cheap</f>
        <v>1.2</v>
      </c>
    </row>
    <row r="9" customFormat="false" ht="15" hidden="false" customHeight="true" outlineLevel="0" collapsed="false">
      <c r="A9" s="1" t="s">
        <v>60</v>
      </c>
      <c r="B9" s="21" t="n">
        <f aca="false">overage_launch*1.5</f>
        <v>3</v>
      </c>
      <c r="C9" s="20" t="n">
        <f aca="false">overage_launch</f>
        <v>2</v>
      </c>
      <c r="D9" s="21" t="n">
        <v>0</v>
      </c>
      <c r="E9" s="21" t="n">
        <f aca="false">overage_growth*1.5</f>
        <v>7.5</v>
      </c>
      <c r="F9" s="20" t="n">
        <f aca="false">overage_growth</f>
        <v>5</v>
      </c>
      <c r="G9" s="21" t="n">
        <v>0</v>
      </c>
    </row>
    <row r="11" customFormat="false" ht="15" hidden="false" customHeight="true" outlineLevel="0" collapsed="false">
      <c r="A11" s="14" t="s">
        <v>61</v>
      </c>
      <c r="B11" s="14"/>
      <c r="C11" s="14"/>
      <c r="D11" s="14"/>
      <c r="E11" s="14"/>
      <c r="F11" s="14"/>
      <c r="G11" s="14"/>
    </row>
    <row r="12" customFormat="false" ht="15" hidden="false" customHeight="true" outlineLevel="0" collapsed="false">
      <c r="A12" s="6" t="s">
        <v>62</v>
      </c>
      <c r="B12" s="22" t="n">
        <f aca="false">px_launch_monthly</f>
        <v>14</v>
      </c>
      <c r="C12" s="22" t="n">
        <f aca="false">px_launch_monthly</f>
        <v>14</v>
      </c>
      <c r="D12" s="22" t="n">
        <f aca="false">px_launch_monthly</f>
        <v>14</v>
      </c>
      <c r="E12" s="22" t="n">
        <f aca="false">px_growth_monthly</f>
        <v>39</v>
      </c>
      <c r="F12" s="22" t="n">
        <f aca="false">px_growth_monthly</f>
        <v>39</v>
      </c>
      <c r="G12" s="22" t="n">
        <f aca="false">px_growth_monthly</f>
        <v>39</v>
      </c>
    </row>
    <row r="13" customFormat="false" ht="15" hidden="false" customHeight="true" outlineLevel="0" collapsed="false">
      <c r="A13" s="6" t="s">
        <v>63</v>
      </c>
      <c r="B13" s="22" t="n">
        <f aca="false">B9*(1-B6)*overage_markup</f>
        <v>0.9</v>
      </c>
      <c r="C13" s="22" t="n">
        <f aca="false">C9*(1-C6)*overage_markup</f>
        <v>0.42</v>
      </c>
      <c r="D13" s="22" t="n">
        <f aca="false">D9*(1-D6)*overage_markup</f>
        <v>0</v>
      </c>
      <c r="E13" s="22" t="n">
        <f aca="false">E9*(1-E6)*overage_markup</f>
        <v>2.25</v>
      </c>
      <c r="F13" s="22" t="n">
        <f aca="false">F9*(1-F6)*overage_markup</f>
        <v>1.05</v>
      </c>
      <c r="G13" s="22" t="n">
        <f aca="false">G9*(1-G6)*overage_markup</f>
        <v>0</v>
      </c>
    </row>
    <row r="14" customFormat="false" ht="15" hidden="false" customHeight="true" outlineLevel="0" collapsed="false">
      <c r="A14" s="6" t="s">
        <v>64</v>
      </c>
      <c r="B14" s="22" t="n">
        <f aca="false">B12+B13</f>
        <v>14.9</v>
      </c>
      <c r="C14" s="22" t="n">
        <f aca="false">C12+C13</f>
        <v>14.42</v>
      </c>
      <c r="D14" s="22" t="n">
        <f aca="false">D12+D13</f>
        <v>14</v>
      </c>
      <c r="E14" s="22" t="n">
        <f aca="false">E12+E13</f>
        <v>41.25</v>
      </c>
      <c r="F14" s="22" t="n">
        <f aca="false">F12+F13</f>
        <v>40.05</v>
      </c>
      <c r="G14" s="22" t="n">
        <f aca="false">G12+G13</f>
        <v>39</v>
      </c>
    </row>
    <row r="15" customFormat="false" ht="15" hidden="false" customHeight="true" outlineLevel="0" collapsed="false">
      <c r="A15" s="6"/>
      <c r="B15" s="22"/>
      <c r="C15" s="22"/>
      <c r="D15" s="22"/>
      <c r="E15" s="22"/>
      <c r="F15" s="22"/>
      <c r="G15" s="22"/>
    </row>
    <row r="16" customFormat="false" ht="15" hidden="false" customHeight="true" outlineLevel="0" collapsed="false">
      <c r="A16" s="6" t="s">
        <v>65</v>
      </c>
      <c r="B16" s="22" t="n">
        <f aca="false">-(B14*paddle_pct+paddle_fixed)</f>
        <v>-1.145</v>
      </c>
      <c r="C16" s="22" t="n">
        <f aca="false">-(C14*paddle_pct+paddle_fixed)</f>
        <v>-1.121</v>
      </c>
      <c r="D16" s="22" t="n">
        <f aca="false">-(D14*paddle_pct+paddle_fixed)</f>
        <v>-1.1</v>
      </c>
      <c r="E16" s="22" t="n">
        <f aca="false">-(E14*paddle_pct+paddle_fixed)</f>
        <v>-2.4625</v>
      </c>
      <c r="F16" s="22" t="n">
        <f aca="false">-(F14*paddle_pct+paddle_fixed)</f>
        <v>-2.4025</v>
      </c>
      <c r="G16" s="22" t="n">
        <f aca="false">-(G14*paddle_pct+paddle_fixed)</f>
        <v>-2.35</v>
      </c>
    </row>
    <row r="17" customFormat="false" ht="15" hidden="false" customHeight="true" outlineLevel="0" collapsed="false">
      <c r="A17" s="6" t="s">
        <v>66</v>
      </c>
      <c r="B17" s="22" t="n">
        <f aca="false">-infra_cost</f>
        <v>-8.5</v>
      </c>
      <c r="C17" s="22" t="n">
        <f aca="false">-infra_cost</f>
        <v>-8.5</v>
      </c>
      <c r="D17" s="22" t="n">
        <f aca="false">-infra_cost</f>
        <v>-8.5</v>
      </c>
      <c r="E17" s="22" t="n">
        <f aca="false">-infra_cost</f>
        <v>-8.5</v>
      </c>
      <c r="F17" s="22" t="n">
        <f aca="false">-infra_cost</f>
        <v>-8.5</v>
      </c>
      <c r="G17" s="22" t="n">
        <f aca="false">-infra_cost</f>
        <v>-8.5</v>
      </c>
    </row>
    <row r="18" customFormat="false" ht="15" hidden="false" customHeight="true" outlineLevel="0" collapsed="false">
      <c r="A18" s="6" t="s">
        <v>67</v>
      </c>
      <c r="B18" s="22" t="n">
        <f aca="false">-allow_launch*B7*(1-B6)</f>
        <v>-3</v>
      </c>
      <c r="C18" s="22" t="n">
        <f aca="false">-allow_launch*C7*(1-C6)</f>
        <v>-1.26</v>
      </c>
      <c r="D18" s="22" t="n">
        <f aca="false">-allow_launch*D7*(1-D6)</f>
        <v>-0.12</v>
      </c>
      <c r="E18" s="22" t="n">
        <f aca="false">-allow_growth*E7*(1-E6)</f>
        <v>-10</v>
      </c>
      <c r="F18" s="22" t="n">
        <f aca="false">-allow_growth*F7*(1-F6)</f>
        <v>-4.2</v>
      </c>
      <c r="G18" s="22" t="n">
        <f aca="false">-allow_growth*G7*(1-G6)</f>
        <v>-0.4</v>
      </c>
    </row>
    <row r="19" customFormat="false" ht="15" hidden="false" customHeight="true" outlineLevel="0" collapsed="false">
      <c r="A19" s="6" t="s">
        <v>68</v>
      </c>
      <c r="B19" s="22" t="n">
        <f aca="false">-B9*(1-B6)</f>
        <v>-3</v>
      </c>
      <c r="C19" s="22" t="n">
        <f aca="false">-C9*(1-C6)</f>
        <v>-1.4</v>
      </c>
      <c r="D19" s="22" t="n">
        <f aca="false">-D9*(1-D6)</f>
        <v>-0</v>
      </c>
      <c r="E19" s="22" t="n">
        <f aca="false">-E9*(1-E6)</f>
        <v>-7.5</v>
      </c>
      <c r="F19" s="22" t="n">
        <f aca="false">-F9*(1-F6)</f>
        <v>-3.5</v>
      </c>
      <c r="G19" s="22" t="n">
        <f aca="false">-G9*(1-G6)</f>
        <v>-0</v>
      </c>
    </row>
    <row r="20" customFormat="false" ht="15" hidden="false" customHeight="true" outlineLevel="0" collapsed="false">
      <c r="A20" s="6" t="s">
        <v>69</v>
      </c>
      <c r="B20" s="23" t="n">
        <f aca="false">-kept_sandbox_cost</f>
        <v>-1.5</v>
      </c>
      <c r="C20" s="23" t="n">
        <f aca="false">-kept_sandbox_cost</f>
        <v>-1.5</v>
      </c>
      <c r="D20" s="23" t="n">
        <f aca="false">-kept_sandbox_cost</f>
        <v>-1.5</v>
      </c>
      <c r="E20" s="23" t="n">
        <f aca="false">-kept_sandbox_cost</f>
        <v>-1.5</v>
      </c>
      <c r="F20" s="23" t="n">
        <f aca="false">-kept_sandbox_cost</f>
        <v>-1.5</v>
      </c>
      <c r="G20" s="23" t="n">
        <f aca="false">-kept_sandbox_cost</f>
        <v>-1.5</v>
      </c>
    </row>
    <row r="21" customFormat="false" ht="15" hidden="false" customHeight="true" outlineLevel="0" collapsed="false">
      <c r="A21" s="6" t="s">
        <v>70</v>
      </c>
      <c r="B21" s="24" t="n">
        <f aca="false">SUM(B14,B16:B20)</f>
        <v>-2.245</v>
      </c>
      <c r="C21" s="24" t="n">
        <f aca="false">SUM(C14,C16:C20)</f>
        <v>0.639</v>
      </c>
      <c r="D21" s="24" t="n">
        <f aca="false">SUM(D14,D16:D20)</f>
        <v>2.78</v>
      </c>
      <c r="E21" s="24" t="n">
        <f aca="false">SUM(E14,E16:E20)</f>
        <v>11.2875</v>
      </c>
      <c r="F21" s="24" t="n">
        <f aca="false">SUM(F14,F16:F20)</f>
        <v>19.9475</v>
      </c>
      <c r="G21" s="24" t="n">
        <f aca="false">SUM(G14,G16:G20)</f>
        <v>26.25</v>
      </c>
    </row>
    <row r="23" customFormat="false" ht="15" hidden="false" customHeight="true" outlineLevel="0" collapsed="false">
      <c r="A23" s="14" t="s">
        <v>71</v>
      </c>
      <c r="B23" s="14"/>
      <c r="C23" s="14"/>
      <c r="D23" s="14"/>
      <c r="E23" s="14"/>
      <c r="F23" s="14"/>
      <c r="G23" s="14"/>
    </row>
    <row r="24" customFormat="false" ht="15" hidden="false" customHeight="true" outlineLevel="0" collapsed="false">
      <c r="A24" s="1" t="s">
        <v>72</v>
      </c>
      <c r="B24" s="22" t="n">
        <f aca="false">px_setup-5</f>
        <v>84</v>
      </c>
      <c r="C24" s="22" t="n">
        <f aca="false">px_setup-5</f>
        <v>84</v>
      </c>
      <c r="D24" s="22" t="n">
        <f aca="false">px_setup-5</f>
        <v>84</v>
      </c>
      <c r="E24" s="22" t="n">
        <v>0</v>
      </c>
      <c r="F24" s="22" t="n">
        <v>0</v>
      </c>
      <c r="G24" s="22" t="n">
        <v>0</v>
      </c>
    </row>
    <row r="25" customFormat="false" ht="15" hidden="false" customHeight="true" outlineLevel="0" collapsed="false">
      <c r="A25" s="25" t="s">
        <v>73</v>
      </c>
      <c r="B25" s="24" t="n">
        <f aca="false">B24+11*B21</f>
        <v>59.305</v>
      </c>
      <c r="C25" s="24" t="n">
        <f aca="false">C24+11*C21</f>
        <v>91.029</v>
      </c>
      <c r="D25" s="24" t="n">
        <f aca="false">D24+11*D21</f>
        <v>114.58</v>
      </c>
      <c r="E25" s="24" t="n">
        <f aca="false">E24+12*E21</f>
        <v>135.45</v>
      </c>
      <c r="F25" s="24" t="n">
        <f aca="false">F24+12*F21</f>
        <v>239.37</v>
      </c>
      <c r="G25" s="24" t="n">
        <f aca="false">G24+12*G21</f>
        <v>315</v>
      </c>
    </row>
    <row r="27" customFormat="false" ht="15" hidden="false" customHeight="true" outlineLevel="0" collapsed="false">
      <c r="A27" s="14" t="s">
        <v>74</v>
      </c>
      <c r="B27" s="14"/>
      <c r="C27" s="14"/>
      <c r="D27" s="14"/>
      <c r="E27" s="14"/>
      <c r="F27" s="14"/>
      <c r="G27" s="14"/>
    </row>
    <row r="28" customFormat="false" ht="15" hidden="false" customHeight="true" outlineLevel="0" collapsed="false">
      <c r="A28" s="6" t="s">
        <v>75</v>
      </c>
      <c r="B28" s="26" t="n">
        <f aca="false">C21</f>
        <v>0.639</v>
      </c>
      <c r="C28" s="26"/>
      <c r="D28" s="26"/>
    </row>
    <row r="29" customFormat="false" ht="15" hidden="false" customHeight="true" outlineLevel="0" collapsed="false">
      <c r="A29" s="6" t="s">
        <v>76</v>
      </c>
      <c r="B29" s="27" t="str">
        <f aca="false">TEXT(B21,"£#,##0.00")&amp;"  →  "&amp;TEXT(D21,"£#,##0.00")</f>
        <v>-£2.25  →  £2.78</v>
      </c>
      <c r="C29" s="27"/>
      <c r="D29" s="27"/>
    </row>
    <row r="30" customFormat="false" ht="15" hidden="false" customHeight="true" outlineLevel="0" collapsed="false">
      <c r="A30" s="6" t="s">
        <v>77</v>
      </c>
      <c r="B30" s="26" t="n">
        <f aca="false">F21</f>
        <v>19.9475</v>
      </c>
      <c r="C30" s="26"/>
      <c r="D30" s="26"/>
    </row>
    <row r="31" customFormat="false" ht="15" hidden="false" customHeight="true" outlineLevel="0" collapsed="false">
      <c r="A31" s="6" t="s">
        <v>78</v>
      </c>
      <c r="B31" s="27" t="str">
        <f aca="false">TEXT(E21,"£#,##0.00")&amp;"  →  "&amp;TEXT(G21,"£#,##0.00")</f>
        <v>£11.29  →  £26.25</v>
      </c>
      <c r="C31" s="27"/>
      <c r="D31" s="27"/>
    </row>
  </sheetData>
  <mergeCells count="10">
    <mergeCell ref="A1:G1"/>
    <mergeCell ref="A2:G2"/>
    <mergeCell ref="A5:G5"/>
    <mergeCell ref="A11:G11"/>
    <mergeCell ref="A23:G23"/>
    <mergeCell ref="A27:G27"/>
    <mergeCell ref="B28:D28"/>
    <mergeCell ref="B29:D29"/>
    <mergeCell ref="B30:D30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7"/>
  </cols>
  <sheetData>
    <row r="1" customFormat="false" ht="19.5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80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8" t="s">
        <v>81</v>
      </c>
      <c r="B4" s="28"/>
      <c r="C4" s="28"/>
      <c r="D4" s="28"/>
      <c r="E4" s="28"/>
      <c r="F4" s="28"/>
      <c r="G4" s="28"/>
      <c r="H4" s="28"/>
    </row>
    <row r="5" customFormat="false" ht="15" hidden="false" customHeight="true" outlineLevel="0" collapsed="false">
      <c r="A5" s="29" t="s">
        <v>82</v>
      </c>
      <c r="B5" s="30" t="n">
        <v>0</v>
      </c>
      <c r="C5" s="30" t="n">
        <v>0.2</v>
      </c>
      <c r="D5" s="30" t="n">
        <v>0.4</v>
      </c>
      <c r="E5" s="30" t="n">
        <v>0.6</v>
      </c>
      <c r="F5" s="30" t="n">
        <v>0.8</v>
      </c>
      <c r="G5" s="30" t="n">
        <v>1</v>
      </c>
    </row>
    <row r="6" customFormat="false" ht="15" hidden="false" customHeight="true" outlineLevel="0" collapsed="false">
      <c r="A6" s="30" t="n">
        <v>0</v>
      </c>
      <c r="B6" s="31" t="n">
        <f aca="false">px_launch_monthly+(overage_launch*(1-$A6)*overage_markup)-((px_launch_monthly+overage_launch*(1-$A6)*overage_markup)*paddle_pct+paddle_fixed)-infra_cost-(allow_launch*B$5*(1-$A6))-(overage_launch*(1-$A6))-kept_sandbox_cost</f>
        <v>1.47</v>
      </c>
      <c r="C6" s="31" t="n">
        <f aca="false">px_launch_monthly+(overage_launch*(1-$A6)*overage_markup)-((px_launch_monthly+overage_launch*(1-$A6)*overage_markup)*paddle_pct+paddle_fixed)-infra_cost-(allow_launch*C$5*(1-$A6))-(overage_launch*(1-$A6))-kept_sandbox_cost</f>
        <v>0.869999999999999</v>
      </c>
      <c r="D6" s="31" t="n">
        <f aca="false">px_launch_monthly+(overage_launch*(1-$A6)*overage_markup)-((px_launch_monthly+overage_launch*(1-$A6)*overage_markup)*paddle_pct+paddle_fixed)-infra_cost-(allow_launch*D$5*(1-$A6))-(overage_launch*(1-$A6))-kept_sandbox_cost</f>
        <v>0.269999999999999</v>
      </c>
      <c r="E6" s="31" t="n">
        <f aca="false">px_launch_monthly+(overage_launch*(1-$A6)*overage_markup)-((px_launch_monthly+overage_launch*(1-$A6)*overage_markup)*paddle_pct+paddle_fixed)-infra_cost-(allow_launch*E$5*(1-$A6))-(overage_launch*(1-$A6))-kept_sandbox_cost</f>
        <v>-0.330000000000001</v>
      </c>
      <c r="F6" s="31" t="n">
        <f aca="false">px_launch_monthly+(overage_launch*(1-$A6)*overage_markup)-((px_launch_monthly+overage_launch*(1-$A6)*overage_markup)*paddle_pct+paddle_fixed)-infra_cost-(allow_launch*F$5*(1-$A6))-(overage_launch*(1-$A6))-kept_sandbox_cost</f>
        <v>-0.930000000000002</v>
      </c>
      <c r="G6" s="31" t="n">
        <f aca="false">px_launch_monthly+(overage_launch*(1-$A6)*overage_markup)-((px_launch_monthly+overage_launch*(1-$A6)*overage_markup)*paddle_pct+paddle_fixed)-infra_cost-(allow_launch*G$5*(1-$A6))-(overage_launch*(1-$A6))-kept_sandbox_cost</f>
        <v>-1.53</v>
      </c>
    </row>
    <row r="7" customFormat="false" ht="15" hidden="false" customHeight="true" outlineLevel="0" collapsed="false">
      <c r="A7" s="30" t="n">
        <v>0.2</v>
      </c>
      <c r="B7" s="31" t="n">
        <f aca="false">px_launch_monthly+(overage_launch*(1-$A7)*overage_markup)-((px_launch_monthly+overage_launch*(1-$A7)*overage_markup)*paddle_pct+paddle_fixed)-infra_cost-(allow_launch*B$5*(1-$A7))-(overage_launch*(1-$A7))-kept_sandbox_cost</f>
        <v>1.756</v>
      </c>
      <c r="C7" s="31" t="n">
        <f aca="false">px_launch_monthly+(overage_launch*(1-$A7)*overage_markup)-((px_launch_monthly+overage_launch*(1-$A7)*overage_markup)*paddle_pct+paddle_fixed)-infra_cost-(allow_launch*C$5*(1-$A7))-(overage_launch*(1-$A7))-kept_sandbox_cost</f>
        <v>1.276</v>
      </c>
      <c r="D7" s="31" t="n">
        <f aca="false">px_launch_monthly+(overage_launch*(1-$A7)*overage_markup)-((px_launch_monthly+overage_launch*(1-$A7)*overage_markup)*paddle_pct+paddle_fixed)-infra_cost-(allow_launch*D$5*(1-$A7))-(overage_launch*(1-$A7))-kept_sandbox_cost</f>
        <v>0.796</v>
      </c>
      <c r="E7" s="31" t="n">
        <f aca="false">px_launch_monthly+(overage_launch*(1-$A7)*overage_markup)-((px_launch_monthly+overage_launch*(1-$A7)*overage_markup)*paddle_pct+paddle_fixed)-infra_cost-(allow_launch*E$5*(1-$A7))-(overage_launch*(1-$A7))-kept_sandbox_cost</f>
        <v>0.316</v>
      </c>
      <c r="F7" s="31" t="n">
        <f aca="false">px_launch_monthly+(overage_launch*(1-$A7)*overage_markup)-((px_launch_monthly+overage_launch*(1-$A7)*overage_markup)*paddle_pct+paddle_fixed)-infra_cost-(allow_launch*F$5*(1-$A7))-(overage_launch*(1-$A7))-kept_sandbox_cost</f>
        <v>-0.164000000000001</v>
      </c>
      <c r="G7" s="31" t="n">
        <f aca="false">px_launch_monthly+(overage_launch*(1-$A7)*overage_markup)-((px_launch_monthly+overage_launch*(1-$A7)*overage_markup)*paddle_pct+paddle_fixed)-infra_cost-(allow_launch*G$5*(1-$A7))-(overage_launch*(1-$A7))-kept_sandbox_cost</f>
        <v>-0.644000000000001</v>
      </c>
    </row>
    <row r="8" customFormat="false" ht="15" hidden="false" customHeight="true" outlineLevel="0" collapsed="false">
      <c r="A8" s="30" t="n">
        <v>0.4</v>
      </c>
      <c r="B8" s="31" t="n">
        <f aca="false">px_launch_monthly+(overage_launch*(1-$A8)*overage_markup)-((px_launch_monthly+overage_launch*(1-$A8)*overage_markup)*paddle_pct+paddle_fixed)-infra_cost-(allow_launch*B$5*(1-$A8))-(overage_launch*(1-$A8))-kept_sandbox_cost</f>
        <v>2.042</v>
      </c>
      <c r="C8" s="31" t="n">
        <f aca="false">px_launch_monthly+(overage_launch*(1-$A8)*overage_markup)-((px_launch_monthly+overage_launch*(1-$A8)*overage_markup)*paddle_pct+paddle_fixed)-infra_cost-(allow_launch*C$5*(1-$A8))-(overage_launch*(1-$A8))-kept_sandbox_cost</f>
        <v>1.682</v>
      </c>
      <c r="D8" s="31" t="n">
        <f aca="false">px_launch_monthly+(overage_launch*(1-$A8)*overage_markup)-((px_launch_monthly+overage_launch*(1-$A8)*overage_markup)*paddle_pct+paddle_fixed)-infra_cost-(allow_launch*D$5*(1-$A8))-(overage_launch*(1-$A8))-kept_sandbox_cost</f>
        <v>1.322</v>
      </c>
      <c r="E8" s="31" t="n">
        <f aca="false">px_launch_monthly+(overage_launch*(1-$A8)*overage_markup)-((px_launch_monthly+overage_launch*(1-$A8)*overage_markup)*paddle_pct+paddle_fixed)-infra_cost-(allow_launch*E$5*(1-$A8))-(overage_launch*(1-$A8))-kept_sandbox_cost</f>
        <v>0.961999999999999</v>
      </c>
      <c r="F8" s="31" t="n">
        <f aca="false">px_launch_monthly+(overage_launch*(1-$A8)*overage_markup)-((px_launch_monthly+overage_launch*(1-$A8)*overage_markup)*paddle_pct+paddle_fixed)-infra_cost-(allow_launch*F$5*(1-$A8))-(overage_launch*(1-$A8))-kept_sandbox_cost</f>
        <v>0.601999999999999</v>
      </c>
      <c r="G8" s="31" t="n">
        <f aca="false">px_launch_monthly+(overage_launch*(1-$A8)*overage_markup)-((px_launch_monthly+overage_launch*(1-$A8)*overage_markup)*paddle_pct+paddle_fixed)-infra_cost-(allow_launch*G$5*(1-$A8))-(overage_launch*(1-$A8))-kept_sandbox_cost</f>
        <v>0.241999999999999</v>
      </c>
    </row>
    <row r="9" customFormat="false" ht="15" hidden="false" customHeight="true" outlineLevel="0" collapsed="false">
      <c r="A9" s="30" t="n">
        <v>0.6</v>
      </c>
      <c r="B9" s="31" t="n">
        <f aca="false">px_launch_monthly+(overage_launch*(1-$A9)*overage_markup)-((px_launch_monthly+overage_launch*(1-$A9)*overage_markup)*paddle_pct+paddle_fixed)-infra_cost-(allow_launch*B$5*(1-$A9))-(overage_launch*(1-$A9))-kept_sandbox_cost</f>
        <v>2.328</v>
      </c>
      <c r="C9" s="31" t="n">
        <f aca="false">px_launch_monthly+(overage_launch*(1-$A9)*overage_markup)-((px_launch_monthly+overage_launch*(1-$A9)*overage_markup)*paddle_pct+paddle_fixed)-infra_cost-(allow_launch*C$5*(1-$A9))-(overage_launch*(1-$A9))-kept_sandbox_cost</f>
        <v>2.088</v>
      </c>
      <c r="D9" s="31" t="n">
        <f aca="false">px_launch_monthly+(overage_launch*(1-$A9)*overage_markup)-((px_launch_monthly+overage_launch*(1-$A9)*overage_markup)*paddle_pct+paddle_fixed)-infra_cost-(allow_launch*D$5*(1-$A9))-(overage_launch*(1-$A9))-kept_sandbox_cost</f>
        <v>1.848</v>
      </c>
      <c r="E9" s="31" t="n">
        <f aca="false">px_launch_monthly+(overage_launch*(1-$A9)*overage_markup)-((px_launch_monthly+overage_launch*(1-$A9)*overage_markup)*paddle_pct+paddle_fixed)-infra_cost-(allow_launch*E$5*(1-$A9))-(overage_launch*(1-$A9))-kept_sandbox_cost</f>
        <v>1.608</v>
      </c>
      <c r="F9" s="31" t="n">
        <f aca="false">px_launch_monthly+(overage_launch*(1-$A9)*overage_markup)-((px_launch_monthly+overage_launch*(1-$A9)*overage_markup)*paddle_pct+paddle_fixed)-infra_cost-(allow_launch*F$5*(1-$A9))-(overage_launch*(1-$A9))-kept_sandbox_cost</f>
        <v>1.368</v>
      </c>
      <c r="G9" s="31" t="n">
        <f aca="false">px_launch_monthly+(overage_launch*(1-$A9)*overage_markup)-((px_launch_monthly+overage_launch*(1-$A9)*overage_markup)*paddle_pct+paddle_fixed)-infra_cost-(allow_launch*G$5*(1-$A9))-(overage_launch*(1-$A9))-kept_sandbox_cost</f>
        <v>1.128</v>
      </c>
    </row>
    <row r="10" customFormat="false" ht="15" hidden="false" customHeight="true" outlineLevel="0" collapsed="false">
      <c r="A10" s="30" t="n">
        <v>0.8</v>
      </c>
      <c r="B10" s="31" t="n">
        <f aca="false">px_launch_monthly+(overage_launch*(1-$A10)*overage_markup)-((px_launch_monthly+overage_launch*(1-$A10)*overage_markup)*paddle_pct+paddle_fixed)-infra_cost-(allow_launch*B$5*(1-$A10))-(overage_launch*(1-$A10))-kept_sandbox_cost</f>
        <v>2.614</v>
      </c>
      <c r="C10" s="31" t="n">
        <f aca="false">px_launch_monthly+(overage_launch*(1-$A10)*overage_markup)-((px_launch_monthly+overage_launch*(1-$A10)*overage_markup)*paddle_pct+paddle_fixed)-infra_cost-(allow_launch*C$5*(1-$A10))-(overage_launch*(1-$A10))-kept_sandbox_cost</f>
        <v>2.494</v>
      </c>
      <c r="D10" s="31" t="n">
        <f aca="false">px_launch_monthly+(overage_launch*(1-$A10)*overage_markup)-((px_launch_monthly+overage_launch*(1-$A10)*overage_markup)*paddle_pct+paddle_fixed)-infra_cost-(allow_launch*D$5*(1-$A10))-(overage_launch*(1-$A10))-kept_sandbox_cost</f>
        <v>2.374</v>
      </c>
      <c r="E10" s="31" t="n">
        <f aca="false">px_launch_monthly+(overage_launch*(1-$A10)*overage_markup)-((px_launch_monthly+overage_launch*(1-$A10)*overage_markup)*paddle_pct+paddle_fixed)-infra_cost-(allow_launch*E$5*(1-$A10))-(overage_launch*(1-$A10))-kept_sandbox_cost</f>
        <v>2.254</v>
      </c>
      <c r="F10" s="31" t="n">
        <f aca="false">px_launch_monthly+(overage_launch*(1-$A10)*overage_markup)-((px_launch_monthly+overage_launch*(1-$A10)*overage_markup)*paddle_pct+paddle_fixed)-infra_cost-(allow_launch*F$5*(1-$A10))-(overage_launch*(1-$A10))-kept_sandbox_cost</f>
        <v>2.134</v>
      </c>
      <c r="G10" s="31" t="n">
        <f aca="false">px_launch_monthly+(overage_launch*(1-$A10)*overage_markup)-((px_launch_monthly+overage_launch*(1-$A10)*overage_markup)*paddle_pct+paddle_fixed)-infra_cost-(allow_launch*G$5*(1-$A10))-(overage_launch*(1-$A10))-kept_sandbox_cost</f>
        <v>2.014</v>
      </c>
    </row>
    <row r="12" customFormat="false" ht="15" hidden="false" customHeight="true" outlineLevel="0" collapsed="false">
      <c r="A12" s="28" t="s">
        <v>83</v>
      </c>
      <c r="B12" s="28"/>
      <c r="C12" s="28"/>
      <c r="D12" s="28"/>
      <c r="E12" s="28"/>
      <c r="F12" s="28"/>
      <c r="G12" s="28"/>
      <c r="H12" s="28"/>
    </row>
    <row r="13" customFormat="false" ht="15" hidden="false" customHeight="true" outlineLevel="0" collapsed="false">
      <c r="A13" s="29" t="s">
        <v>82</v>
      </c>
      <c r="B13" s="30" t="n">
        <v>0</v>
      </c>
      <c r="C13" s="30" t="n">
        <v>0.2</v>
      </c>
      <c r="D13" s="30" t="n">
        <v>0.4</v>
      </c>
      <c r="E13" s="30" t="n">
        <v>0.6</v>
      </c>
      <c r="F13" s="30" t="n">
        <v>0.8</v>
      </c>
      <c r="G13" s="30" t="n">
        <v>1</v>
      </c>
    </row>
    <row r="14" customFormat="false" ht="15" hidden="false" customHeight="true" outlineLevel="0" collapsed="false">
      <c r="A14" s="30" t="n">
        <v>0</v>
      </c>
      <c r="B14" s="31" t="n">
        <f aca="false">px_growth_monthly+(overage_growth*(1-$A14)*overage_markup)-((px_growth_monthly+overage_growth*(1-$A14)*overage_markup)*paddle_pct+paddle_fixed)-infra_cost-(allow_growth*B$13*(1-$A14))-(overage_growth*(1-$A14))-kept_sandbox_cost</f>
        <v>23.075</v>
      </c>
      <c r="C14" s="31" t="n">
        <f aca="false">px_growth_monthly+(overage_growth*(1-$A14)*overage_markup)-((px_growth_monthly+overage_growth*(1-$A14)*overage_markup)*paddle_pct+paddle_fixed)-infra_cost-(allow_growth*C$13*(1-$A14))-(overage_growth*(1-$A14))-kept_sandbox_cost</f>
        <v>21.075</v>
      </c>
      <c r="D14" s="31" t="n">
        <f aca="false">px_growth_monthly+(overage_growth*(1-$A14)*overage_markup)-((px_growth_monthly+overage_growth*(1-$A14)*overage_markup)*paddle_pct+paddle_fixed)-infra_cost-(allow_growth*D$13*(1-$A14))-(overage_growth*(1-$A14))-kept_sandbox_cost</f>
        <v>19.075</v>
      </c>
      <c r="E14" s="31" t="n">
        <f aca="false">px_growth_monthly+(overage_growth*(1-$A14)*overage_markup)-((px_growth_monthly+overage_growth*(1-$A14)*overage_markup)*paddle_pct+paddle_fixed)-infra_cost-(allow_growth*E$13*(1-$A14))-(overage_growth*(1-$A14))-kept_sandbox_cost</f>
        <v>17.075</v>
      </c>
      <c r="F14" s="31" t="n">
        <f aca="false">px_growth_monthly+(overage_growth*(1-$A14)*overage_markup)-((px_growth_monthly+overage_growth*(1-$A14)*overage_markup)*paddle_pct+paddle_fixed)-infra_cost-(allow_growth*F$13*(1-$A14))-(overage_growth*(1-$A14))-kept_sandbox_cost</f>
        <v>15.075</v>
      </c>
      <c r="G14" s="31" t="n">
        <f aca="false">px_growth_monthly+(overage_growth*(1-$A14)*overage_markup)-((px_growth_monthly+overage_growth*(1-$A14)*overage_markup)*paddle_pct+paddle_fixed)-infra_cost-(allow_growth*G$13*(1-$A14))-(overage_growth*(1-$A14))-kept_sandbox_cost</f>
        <v>13.075</v>
      </c>
    </row>
    <row r="15" customFormat="false" ht="15" hidden="false" customHeight="true" outlineLevel="0" collapsed="false">
      <c r="A15" s="30" t="n">
        <v>0.2</v>
      </c>
      <c r="B15" s="31" t="n">
        <f aca="false">px_growth_monthly+(overage_growth*(1-$A15)*overage_markup)-((px_growth_monthly+overage_growth*(1-$A15)*overage_markup)*paddle_pct+paddle_fixed)-infra_cost-(allow_growth*B$13*(1-$A15))-(overage_growth*(1-$A15))-kept_sandbox_cost</f>
        <v>23.79</v>
      </c>
      <c r="C15" s="31" t="n">
        <f aca="false">px_growth_monthly+(overage_growth*(1-$A15)*overage_markup)-((px_growth_monthly+overage_growth*(1-$A15)*overage_markup)*paddle_pct+paddle_fixed)-infra_cost-(allow_growth*C$13*(1-$A15))-(overage_growth*(1-$A15))-kept_sandbox_cost</f>
        <v>22.19</v>
      </c>
      <c r="D15" s="31" t="n">
        <f aca="false">px_growth_monthly+(overage_growth*(1-$A15)*overage_markup)-((px_growth_monthly+overage_growth*(1-$A15)*overage_markup)*paddle_pct+paddle_fixed)-infra_cost-(allow_growth*D$13*(1-$A15))-(overage_growth*(1-$A15))-kept_sandbox_cost</f>
        <v>20.59</v>
      </c>
      <c r="E15" s="31" t="n">
        <f aca="false">px_growth_monthly+(overage_growth*(1-$A15)*overage_markup)-((px_growth_monthly+overage_growth*(1-$A15)*overage_markup)*paddle_pct+paddle_fixed)-infra_cost-(allow_growth*E$13*(1-$A15))-(overage_growth*(1-$A15))-kept_sandbox_cost</f>
        <v>18.99</v>
      </c>
      <c r="F15" s="31" t="n">
        <f aca="false">px_growth_monthly+(overage_growth*(1-$A15)*overage_markup)-((px_growth_monthly+overage_growth*(1-$A15)*overage_markup)*paddle_pct+paddle_fixed)-infra_cost-(allow_growth*F$13*(1-$A15))-(overage_growth*(1-$A15))-kept_sandbox_cost</f>
        <v>17.39</v>
      </c>
      <c r="G15" s="31" t="n">
        <f aca="false">px_growth_monthly+(overage_growth*(1-$A15)*overage_markup)-((px_growth_monthly+overage_growth*(1-$A15)*overage_markup)*paddle_pct+paddle_fixed)-infra_cost-(allow_growth*G$13*(1-$A15))-(overage_growth*(1-$A15))-kept_sandbox_cost</f>
        <v>15.79</v>
      </c>
    </row>
    <row r="16" customFormat="false" ht="15" hidden="false" customHeight="true" outlineLevel="0" collapsed="false">
      <c r="A16" s="30" t="n">
        <v>0.4</v>
      </c>
      <c r="B16" s="31" t="n">
        <f aca="false">px_growth_monthly+(overage_growth*(1-$A16)*overage_markup)-((px_growth_monthly+overage_growth*(1-$A16)*overage_markup)*paddle_pct+paddle_fixed)-infra_cost-(allow_growth*B$13*(1-$A16))-(overage_growth*(1-$A16))-kept_sandbox_cost</f>
        <v>24.505</v>
      </c>
      <c r="C16" s="31" t="n">
        <f aca="false">px_growth_monthly+(overage_growth*(1-$A16)*overage_markup)-((px_growth_monthly+overage_growth*(1-$A16)*overage_markup)*paddle_pct+paddle_fixed)-infra_cost-(allow_growth*C$13*(1-$A16))-(overage_growth*(1-$A16))-kept_sandbox_cost</f>
        <v>23.305</v>
      </c>
      <c r="D16" s="31" t="n">
        <f aca="false">px_growth_monthly+(overage_growth*(1-$A16)*overage_markup)-((px_growth_monthly+overage_growth*(1-$A16)*overage_markup)*paddle_pct+paddle_fixed)-infra_cost-(allow_growth*D$13*(1-$A16))-(overage_growth*(1-$A16))-kept_sandbox_cost</f>
        <v>22.105</v>
      </c>
      <c r="E16" s="31" t="n">
        <f aca="false">px_growth_monthly+(overage_growth*(1-$A16)*overage_markup)-((px_growth_monthly+overage_growth*(1-$A16)*overage_markup)*paddle_pct+paddle_fixed)-infra_cost-(allow_growth*E$13*(1-$A16))-(overage_growth*(1-$A16))-kept_sandbox_cost</f>
        <v>20.905</v>
      </c>
      <c r="F16" s="31" t="n">
        <f aca="false">px_growth_monthly+(overage_growth*(1-$A16)*overage_markup)-((px_growth_monthly+overage_growth*(1-$A16)*overage_markup)*paddle_pct+paddle_fixed)-infra_cost-(allow_growth*F$13*(1-$A16))-(overage_growth*(1-$A16))-kept_sandbox_cost</f>
        <v>19.705</v>
      </c>
      <c r="G16" s="31" t="n">
        <f aca="false">px_growth_monthly+(overage_growth*(1-$A16)*overage_markup)-((px_growth_monthly+overage_growth*(1-$A16)*overage_markup)*paddle_pct+paddle_fixed)-infra_cost-(allow_growth*G$13*(1-$A16))-(overage_growth*(1-$A16))-kept_sandbox_cost</f>
        <v>18.505</v>
      </c>
    </row>
    <row r="17" customFormat="false" ht="15" hidden="false" customHeight="true" outlineLevel="0" collapsed="false">
      <c r="A17" s="30" t="n">
        <v>0.6</v>
      </c>
      <c r="B17" s="31" t="n">
        <f aca="false">px_growth_monthly+(overage_growth*(1-$A17)*overage_markup)-((px_growth_monthly+overage_growth*(1-$A17)*overage_markup)*paddle_pct+paddle_fixed)-infra_cost-(allow_growth*B$13*(1-$A17))-(overage_growth*(1-$A17))-kept_sandbox_cost</f>
        <v>25.22</v>
      </c>
      <c r="C17" s="31" t="n">
        <f aca="false">px_growth_monthly+(overage_growth*(1-$A17)*overage_markup)-((px_growth_monthly+overage_growth*(1-$A17)*overage_markup)*paddle_pct+paddle_fixed)-infra_cost-(allow_growth*C$13*(1-$A17))-(overage_growth*(1-$A17))-kept_sandbox_cost</f>
        <v>24.42</v>
      </c>
      <c r="D17" s="31" t="n">
        <f aca="false">px_growth_monthly+(overage_growth*(1-$A17)*overage_markup)-((px_growth_monthly+overage_growth*(1-$A17)*overage_markup)*paddle_pct+paddle_fixed)-infra_cost-(allow_growth*D$13*(1-$A17))-(overage_growth*(1-$A17))-kept_sandbox_cost</f>
        <v>23.62</v>
      </c>
      <c r="E17" s="31" t="n">
        <f aca="false">px_growth_monthly+(overage_growth*(1-$A17)*overage_markup)-((px_growth_monthly+overage_growth*(1-$A17)*overage_markup)*paddle_pct+paddle_fixed)-infra_cost-(allow_growth*E$13*(1-$A17))-(overage_growth*(1-$A17))-kept_sandbox_cost</f>
        <v>22.82</v>
      </c>
      <c r="F17" s="31" t="n">
        <f aca="false">px_growth_monthly+(overage_growth*(1-$A17)*overage_markup)-((px_growth_monthly+overage_growth*(1-$A17)*overage_markup)*paddle_pct+paddle_fixed)-infra_cost-(allow_growth*F$13*(1-$A17))-(overage_growth*(1-$A17))-kept_sandbox_cost</f>
        <v>22.02</v>
      </c>
      <c r="G17" s="31" t="n">
        <f aca="false">px_growth_monthly+(overage_growth*(1-$A17)*overage_markup)-((px_growth_monthly+overage_growth*(1-$A17)*overage_markup)*paddle_pct+paddle_fixed)-infra_cost-(allow_growth*G$13*(1-$A17))-(overage_growth*(1-$A17))-kept_sandbox_cost</f>
        <v>21.22</v>
      </c>
    </row>
    <row r="18" customFormat="false" ht="15" hidden="false" customHeight="true" outlineLevel="0" collapsed="false">
      <c r="A18" s="30" t="n">
        <v>0.8</v>
      </c>
      <c r="B18" s="31" t="n">
        <f aca="false">px_growth_monthly+(overage_growth*(1-$A18)*overage_markup)-((px_growth_monthly+overage_growth*(1-$A18)*overage_markup)*paddle_pct+paddle_fixed)-infra_cost-(allow_growth*B$13*(1-$A18))-(overage_growth*(1-$A18))-kept_sandbox_cost</f>
        <v>25.935</v>
      </c>
      <c r="C18" s="31" t="n">
        <f aca="false">px_growth_monthly+(overage_growth*(1-$A18)*overage_markup)-((px_growth_monthly+overage_growth*(1-$A18)*overage_markup)*paddle_pct+paddle_fixed)-infra_cost-(allow_growth*C$13*(1-$A18))-(overage_growth*(1-$A18))-kept_sandbox_cost</f>
        <v>25.535</v>
      </c>
      <c r="D18" s="31" t="n">
        <f aca="false">px_growth_monthly+(overage_growth*(1-$A18)*overage_markup)-((px_growth_monthly+overage_growth*(1-$A18)*overage_markup)*paddle_pct+paddle_fixed)-infra_cost-(allow_growth*D$13*(1-$A18))-(overage_growth*(1-$A18))-kept_sandbox_cost</f>
        <v>25.135</v>
      </c>
      <c r="E18" s="31" t="n">
        <f aca="false">px_growth_monthly+(overage_growth*(1-$A18)*overage_markup)-((px_growth_monthly+overage_growth*(1-$A18)*overage_markup)*paddle_pct+paddle_fixed)-infra_cost-(allow_growth*E$13*(1-$A18))-(overage_growth*(1-$A18))-kept_sandbox_cost</f>
        <v>24.735</v>
      </c>
      <c r="F18" s="31" t="n">
        <f aca="false">px_growth_monthly+(overage_growth*(1-$A18)*overage_markup)-((px_growth_monthly+overage_growth*(1-$A18)*overage_markup)*paddle_pct+paddle_fixed)-infra_cost-(allow_growth*F$13*(1-$A18))-(overage_growth*(1-$A18))-kept_sandbox_cost</f>
        <v>24.335</v>
      </c>
      <c r="G18" s="31" t="n">
        <f aca="false">px_growth_monthly+(overage_growth*(1-$A18)*overage_markup)-((px_growth_monthly+overage_growth*(1-$A18)*overage_markup)*paddle_pct+paddle_fixed)-infra_cost-(allow_growth*G$13*(1-$A18))-(overage_growth*(1-$A18))-kept_sandbox_cost</f>
        <v>23.935</v>
      </c>
    </row>
    <row r="20" customFormat="false" ht="15" hidden="false" customHeight="true" outlineLevel="0" collapsed="false">
      <c r="A20" s="28" t="s">
        <v>84</v>
      </c>
      <c r="B20" s="28"/>
      <c r="C20" s="28"/>
      <c r="D20" s="28"/>
    </row>
    <row r="21" customFormat="false" ht="15" hidden="false" customHeight="true" outlineLevel="0" collapsed="false">
      <c r="A21" s="29" t="s">
        <v>85</v>
      </c>
      <c r="B21" s="29" t="s">
        <v>86</v>
      </c>
      <c r="C21" s="29" t="s">
        <v>87</v>
      </c>
    </row>
    <row r="22" customFormat="false" ht="15" hidden="false" customHeight="true" outlineLevel="0" collapsed="false">
      <c r="A22" s="30" t="n">
        <v>0</v>
      </c>
      <c r="B22" s="32" t="n">
        <f aca="false">IFERROR(IF((allow_launch*(1-$A22))=0,"n/a (BYO=100%)",MAX(0,((px_launch_monthly+overage_launch*(1-$A22)*overage_markup)-((px_launch_monthly+overage_launch*(1-$A22)*overage_markup)*paddle_pct+paddle_fixed+infra_cost+kept_sandbox_cost+overage_launch*(1-$A22)))/(allow_launch*(1-$A22)))),"err")</f>
        <v>0.49</v>
      </c>
      <c r="C22" s="32" t="n">
        <f aca="false">IFERROR(IF((allow_growth*(1-$A22))=0,"n/a (BYO=100%)",MAX(0,((px_growth_monthly+overage_growth*(1-$A22)*overage_markup)-((px_growth_monthly+overage_growth*(1-$A22)*overage_markup)*paddle_pct+paddle_fixed+infra_cost+kept_sandbox_cost+overage_growth*(1-$A22)))/(allow_growth*(1-$A22)))),"err")</f>
        <v>2.3075</v>
      </c>
    </row>
    <row r="23" customFormat="false" ht="15" hidden="false" customHeight="true" outlineLevel="0" collapsed="false">
      <c r="A23" s="30" t="n">
        <v>0.2</v>
      </c>
      <c r="B23" s="32" t="n">
        <f aca="false">IFERROR(IF((allow_launch*(1-$A23))=0,"n/a (BYO=100%)",MAX(0,((px_launch_monthly+overage_launch*(1-$A23)*overage_markup)-((px_launch_monthly+overage_launch*(1-$A23)*overage_markup)*paddle_pct+paddle_fixed+infra_cost+kept_sandbox_cost+overage_launch*(1-$A23)))/(allow_launch*(1-$A23)))),"err")</f>
        <v>0.731666666666667</v>
      </c>
      <c r="C23" s="32" t="n">
        <f aca="false">IFERROR(IF((allow_growth*(1-$A23))=0,"n/a (BYO=100%)",MAX(0,((px_growth_monthly+overage_growth*(1-$A23)*overage_markup)-((px_growth_monthly+overage_growth*(1-$A23)*overage_markup)*paddle_pct+paddle_fixed+infra_cost+kept_sandbox_cost+overage_growth*(1-$A23)))/(allow_growth*(1-$A23)))),"err")</f>
        <v>2.97375</v>
      </c>
    </row>
    <row r="24" customFormat="false" ht="15" hidden="false" customHeight="true" outlineLevel="0" collapsed="false">
      <c r="A24" s="30" t="n">
        <v>0.4</v>
      </c>
      <c r="B24" s="32" t="n">
        <f aca="false">IFERROR(IF((allow_launch*(1-$A24))=0,"n/a (BYO=100%)",MAX(0,((px_launch_monthly+overage_launch*(1-$A24)*overage_markup)-((px_launch_monthly+overage_launch*(1-$A24)*overage_markup)*paddle_pct+paddle_fixed+infra_cost+kept_sandbox_cost+overage_launch*(1-$A24)))/(allow_launch*(1-$A24)))),"err")</f>
        <v>1.13444444444444</v>
      </c>
      <c r="C24" s="32" t="n">
        <f aca="false">IFERROR(IF((allow_growth*(1-$A24))=0,"n/a (BYO=100%)",MAX(0,((px_growth_monthly+overage_growth*(1-$A24)*overage_markup)-((px_growth_monthly+overage_growth*(1-$A24)*overage_markup)*paddle_pct+paddle_fixed+infra_cost+kept_sandbox_cost+overage_growth*(1-$A24)))/(allow_growth*(1-$A24)))),"err")</f>
        <v>4.08416666666667</v>
      </c>
    </row>
    <row r="25" customFormat="false" ht="15" hidden="false" customHeight="true" outlineLevel="0" collapsed="false">
      <c r="A25" s="30" t="n">
        <v>0.6</v>
      </c>
      <c r="B25" s="32" t="n">
        <f aca="false">IFERROR(IF((allow_launch*(1-$A25))=0,"n/a (BYO=100%)",MAX(0,((px_launch_monthly+overage_launch*(1-$A25)*overage_markup)-((px_launch_monthly+overage_launch*(1-$A25)*overage_markup)*paddle_pct+paddle_fixed+infra_cost+kept_sandbox_cost+overage_launch*(1-$A25)))/(allow_launch*(1-$A25)))),"err")</f>
        <v>1.94</v>
      </c>
      <c r="C25" s="32" t="n">
        <f aca="false">IFERROR(IF((allow_growth*(1-$A25))=0,"n/a (BYO=100%)",MAX(0,((px_growth_monthly+overage_growth*(1-$A25)*overage_markup)-((px_growth_monthly+overage_growth*(1-$A25)*overage_markup)*paddle_pct+paddle_fixed+infra_cost+kept_sandbox_cost+overage_growth*(1-$A25)))/(allow_growth*(1-$A25)))),"err")</f>
        <v>6.305</v>
      </c>
    </row>
    <row r="26" customFormat="false" ht="15" hidden="false" customHeight="true" outlineLevel="0" collapsed="false">
      <c r="A26" s="30" t="n">
        <v>0.8</v>
      </c>
      <c r="B26" s="32" t="n">
        <f aca="false">IFERROR(IF((allow_launch*(1-$A26))=0,"n/a (BYO=100%)",MAX(0,((px_launch_monthly+overage_launch*(1-$A26)*overage_markup)-((px_launch_monthly+overage_launch*(1-$A26)*overage_markup)*paddle_pct+paddle_fixed+infra_cost+kept_sandbox_cost+overage_launch*(1-$A26)))/(allow_launch*(1-$A26)))),"err")</f>
        <v>4.35666666666667</v>
      </c>
      <c r="C26" s="32" t="n">
        <f aca="false">IFERROR(IF((allow_growth*(1-$A26))=0,"n/a (BYO=100%)",MAX(0,((px_growth_monthly+overage_growth*(1-$A26)*overage_markup)-((px_growth_monthly+overage_growth*(1-$A26)*overage_markup)*paddle_pct+paddle_fixed+infra_cost+kept_sandbox_cost+overage_growth*(1-$A26)))/(allow_growth*(1-$A26)))),"err")</f>
        <v>12.9675</v>
      </c>
    </row>
    <row r="28" customFormat="false" ht="15" hidden="false" customHeight="true" outlineLevel="0" collapsed="false">
      <c r="A28" s="33" t="s">
        <v>88</v>
      </c>
      <c r="B28" s="33"/>
      <c r="C28" s="33"/>
      <c r="D28" s="33"/>
      <c r="E28" s="33"/>
      <c r="F28" s="33"/>
      <c r="G28" s="33"/>
    </row>
    <row r="29" customFormat="false" ht="15" hidden="false" customHeight="true" outlineLevel="0" collapsed="false">
      <c r="A29" s="33"/>
      <c r="B29" s="33"/>
      <c r="C29" s="33"/>
      <c r="D29" s="33"/>
      <c r="E29" s="33"/>
      <c r="F29" s="33"/>
      <c r="G29" s="33"/>
    </row>
  </sheetData>
  <mergeCells count="6">
    <mergeCell ref="A1:H1"/>
    <mergeCell ref="A2:H2"/>
    <mergeCell ref="A4:H4"/>
    <mergeCell ref="A12:H12"/>
    <mergeCell ref="A20:D20"/>
    <mergeCell ref="A28:G29"/>
  </mergeCells>
  <conditionalFormatting sqref="B6:G10">
    <cfRule type="cellIs" priority="2" operator="lessThan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1</formula>
      <formula>3</formula>
    </cfRule>
    <cfRule type="cellIs" priority="4" operator="greaterThan" aboveAverage="0" equalAverage="0" bottom="0" percent="0" rank="0" text="" dxfId="2">
      <formula>3</formula>
    </cfRule>
  </conditionalFormatting>
  <conditionalFormatting sqref="B14:G18">
    <cfRule type="cellIs" priority="5" operator="lessThan" aboveAverage="0" equalAverage="0" bottom="0" percent="0" rank="0" text="" dxfId="0">
      <formula>15</formula>
    </cfRule>
    <cfRule type="cellIs" priority="6" operator="between" aboveAverage="0" equalAverage="0" bottom="0" percent="0" rank="0" text="" dxfId="1">
      <formula>15</formula>
      <formula>25</formula>
    </cfRule>
    <cfRule type="cellIs" priority="7" operator="greaterThan" aboveAverage="0" equalAverage="0" bottom="0" percent="0" rank="0" text="" dxfId="2">
      <formula>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89</v>
      </c>
      <c r="B1" s="2"/>
      <c r="C1" s="2"/>
      <c r="D1" s="2"/>
      <c r="E1" s="2"/>
    </row>
    <row r="2" customFormat="false" ht="15" hidden="false" customHeight="true" outlineLevel="0" collapsed="false">
      <c r="A2" s="3" t="s">
        <v>90</v>
      </c>
      <c r="B2" s="3"/>
      <c r="C2" s="3"/>
      <c r="D2" s="3"/>
      <c r="E2" s="3"/>
    </row>
    <row r="4" customFormat="false" ht="15" hidden="false" customHeight="true" outlineLevel="0" collapsed="false">
      <c r="A4" s="14" t="s">
        <v>91</v>
      </c>
      <c r="B4" s="14"/>
      <c r="C4" s="14"/>
      <c r="D4" s="14"/>
      <c r="E4" s="14"/>
    </row>
    <row r="5" customFormat="false" ht="15" hidden="false" customHeight="true" outlineLevel="0" collapsed="false">
      <c r="A5" s="6" t="s">
        <v>92</v>
      </c>
      <c r="B5" s="34" t="n">
        <f aca="false">cohort_total</f>
        <v>1000</v>
      </c>
    </row>
    <row r="6" customFormat="false" ht="15" hidden="false" customHeight="true" outlineLevel="0" collapsed="false">
      <c r="A6" s="6" t="s">
        <v>93</v>
      </c>
      <c r="B6" s="19" t="n">
        <f aca="false">cohort_launch_pct</f>
        <v>0.8</v>
      </c>
    </row>
    <row r="7" customFormat="false" ht="15" hidden="false" customHeight="true" outlineLevel="0" collapsed="false">
      <c r="A7" s="6" t="s">
        <v>94</v>
      </c>
      <c r="B7" s="19" t="n">
        <f aca="false">1-cohort_launch_pct</f>
        <v>0.2</v>
      </c>
    </row>
    <row r="8" customFormat="false" ht="15" hidden="false" customHeight="true" outlineLevel="0" collapsed="false">
      <c r="A8" s="6" t="s">
        <v>95</v>
      </c>
      <c r="B8" s="34" t="n">
        <f aca="false">B5*B6</f>
        <v>800</v>
      </c>
    </row>
    <row r="9" customFormat="false" ht="15" hidden="false" customHeight="true" outlineLevel="0" collapsed="false">
      <c r="A9" s="6" t="s">
        <v>96</v>
      </c>
      <c r="B9" s="34" t="n">
        <f aca="false">B5*B7</f>
        <v>200</v>
      </c>
    </row>
    <row r="11" customFormat="false" ht="15" hidden="false" customHeight="true" outlineLevel="0" collapsed="false">
      <c r="A11" s="14" t="s">
        <v>97</v>
      </c>
      <c r="B11" s="14"/>
      <c r="C11" s="14"/>
      <c r="D11" s="14"/>
      <c r="E11" s="14"/>
    </row>
    <row r="12" customFormat="false" ht="15" hidden="false" customHeight="true" outlineLevel="0" collapsed="false">
      <c r="A12" s="17"/>
      <c r="B12" s="17" t="s">
        <v>98</v>
      </c>
      <c r="C12" s="17" t="s">
        <v>99</v>
      </c>
      <c r="D12" s="17" t="s">
        <v>100</v>
      </c>
    </row>
    <row r="13" customFormat="false" ht="15" hidden="false" customHeight="true" outlineLevel="0" collapsed="false">
      <c r="A13" s="6" t="s">
        <v>101</v>
      </c>
      <c r="B13" s="35" t="n">
        <f aca="false">px_setup+11*(px_launch_monthly+'Per-customer margin'!C13)</f>
        <v>247.62</v>
      </c>
      <c r="C13" s="35" t="n">
        <f aca="false">12*(px_growth_monthly+'Per-customer margin'!F13)</f>
        <v>480.6</v>
      </c>
      <c r="D13" s="35" t="n">
        <f aca="false">B13*B8+C13*B9</f>
        <v>294216</v>
      </c>
    </row>
    <row r="14" customFormat="false" ht="15" hidden="false" customHeight="true" outlineLevel="0" collapsed="false">
      <c r="A14" s="6" t="s">
        <v>102</v>
      </c>
      <c r="B14" s="36" t="n">
        <f aca="false">year1_launch_mid</f>
        <v>91.029</v>
      </c>
      <c r="C14" s="36" t="n">
        <f aca="false">year1_growth_mid</f>
        <v>239.37</v>
      </c>
      <c r="D14" s="35" t="n">
        <f aca="false">B14*B8+C14*B9</f>
        <v>120697.2</v>
      </c>
    </row>
    <row r="15" customFormat="false" ht="15" hidden="false" customHeight="true" outlineLevel="0" collapsed="false">
      <c r="A15" s="6" t="s">
        <v>103</v>
      </c>
      <c r="B15" s="35" t="n">
        <f aca="false">B13*B8</f>
        <v>198096</v>
      </c>
      <c r="C15" s="35" t="n">
        <f aca="false">C13*B9</f>
        <v>96120</v>
      </c>
      <c r="D15" s="37" t="n">
        <f aca="false">B15+C15</f>
        <v>294216</v>
      </c>
    </row>
    <row r="16" customFormat="false" ht="15" hidden="false" customHeight="true" outlineLevel="0" collapsed="false">
      <c r="A16" s="6" t="s">
        <v>104</v>
      </c>
      <c r="B16" s="35" t="n">
        <f aca="false">B14*B8</f>
        <v>72823.2</v>
      </c>
      <c r="C16" s="35" t="n">
        <f aca="false">C14*B9</f>
        <v>47874</v>
      </c>
      <c r="D16" s="37" t="n">
        <f aca="false">B16+C16</f>
        <v>120697.2</v>
      </c>
    </row>
    <row r="17" customFormat="false" ht="15" hidden="false" customHeight="true" outlineLevel="0" collapsed="false">
      <c r="A17" s="6" t="s">
        <v>105</v>
      </c>
      <c r="B17" s="38" t="n">
        <f aca="false">B16/B15</f>
        <v>0.367615701478071</v>
      </c>
      <c r="C17" s="38" t="n">
        <f aca="false">C16/C15</f>
        <v>0.498064918851436</v>
      </c>
      <c r="D17" s="38" t="n">
        <f aca="false">D16/D15</f>
        <v>0.410233297985154</v>
      </c>
    </row>
    <row r="19" customFormat="false" ht="15" hidden="false" customHeight="true" outlineLevel="0" collapsed="false">
      <c r="A19" s="14" t="s">
        <v>106</v>
      </c>
      <c r="B19" s="14"/>
      <c r="C19" s="14"/>
      <c r="D19" s="14"/>
      <c r="E19" s="14"/>
    </row>
    <row r="20" customFormat="false" ht="15" hidden="false" customHeight="true" outlineLevel="0" collapsed="false">
      <c r="A20" s="1" t="s">
        <v>107</v>
      </c>
      <c r="B20" s="39" t="n">
        <v>108</v>
      </c>
    </row>
    <row r="21" customFormat="false" ht="15" hidden="false" customHeight="true" outlineLevel="0" collapsed="false">
      <c r="A21" s="1" t="s">
        <v>108</v>
      </c>
      <c r="B21" s="39" t="n">
        <v>338</v>
      </c>
    </row>
    <row r="22" customFormat="false" ht="15" hidden="false" customHeight="true" outlineLevel="0" collapsed="false">
      <c r="A22" s="1" t="s">
        <v>109</v>
      </c>
      <c r="B22" s="40" t="n">
        <f aca="false">B20*B8+B21*B9</f>
        <v>154000</v>
      </c>
    </row>
    <row r="23" customFormat="false" ht="15" hidden="false" customHeight="true" outlineLevel="0" collapsed="false">
      <c r="A23" s="1" t="s">
        <v>110</v>
      </c>
      <c r="B23" s="41" t="n">
        <f aca="false">D16-B22</f>
        <v>-33302.8</v>
      </c>
    </row>
    <row r="24" customFormat="false" ht="15" hidden="false" customHeight="true" outlineLevel="0" collapsed="false">
      <c r="A24" s="1" t="s">
        <v>111</v>
      </c>
      <c r="B24" s="42" t="n">
        <f aca="false">B23/B22</f>
        <v>-0.216251948051948</v>
      </c>
    </row>
  </sheetData>
  <mergeCells count="5">
    <mergeCell ref="A1:E1"/>
    <mergeCell ref="A2:E2"/>
    <mergeCell ref="A4:E4"/>
    <mergeCell ref="A11:E1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2026-05-14T21:33:12Z</dcterms:created>
  <dc:creator>openpyxl</dc:creator>
  <dc:description/>
  <dc:language>en-GB</dc:language>
  <cp:lastModifiedBy/>
  <dcterms:modified xsi:type="dcterms:W3CDTF">2026-05-14T21:42:17Z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